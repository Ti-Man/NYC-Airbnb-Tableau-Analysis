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Datasets\"/>
    </mc:Choice>
  </mc:AlternateContent>
  <xr:revisionPtr revIDLastSave="0" documentId="8_{77488D7D-9CEF-4E34-897F-A8780606E093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1 - Cleaned Data Sample" sheetId="1" r:id="rId1"/>
    <sheet name="2 - Pivot Analysis" sheetId="2" r:id="rId2"/>
    <sheet name="3 - KPI Summary" sheetId="3" r:id="rId3"/>
    <sheet name="4 - What-If Pricing Mode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4" l="1"/>
  <c r="C18" i="4"/>
  <c r="B18" i="4"/>
  <c r="D16" i="4"/>
  <c r="D15" i="4"/>
  <c r="D17" i="4" s="1"/>
  <c r="D19" i="4" s="1"/>
  <c r="D20" i="4" s="1"/>
  <c r="C15" i="4"/>
  <c r="C16" i="4" s="1"/>
  <c r="B15" i="4"/>
  <c r="D14" i="4"/>
  <c r="C14" i="4"/>
  <c r="B14" i="4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D10" i="2"/>
  <c r="C10" i="2"/>
  <c r="B10" i="2"/>
  <c r="E9" i="2"/>
  <c r="E8" i="2"/>
  <c r="E7" i="2"/>
  <c r="E6" i="2"/>
  <c r="E5" i="2"/>
  <c r="E10" i="2" s="1"/>
  <c r="B17" i="4" l="1"/>
  <c r="C17" i="4"/>
  <c r="B16" i="4"/>
  <c r="B19" i="4" l="1"/>
  <c r="C19" i="4"/>
  <c r="C20" i="4" l="1"/>
  <c r="B20" i="4"/>
</calcChain>
</file>

<file path=xl/sharedStrings.xml><?xml version="1.0" encoding="utf-8"?>
<sst xmlns="http://schemas.openxmlformats.org/spreadsheetml/2006/main" count="270" uniqueCount="143">
  <si>
    <t>NYC Airbnb 2019 — Cleaned Data Sample (500 rows)</t>
  </si>
  <si>
    <t>Source: Kaggle AB_NYC_2019.csv | Full dataset: 48,895 rows | Cleaning notes in column J</t>
  </si>
  <si>
    <t>id</t>
  </si>
  <si>
    <t>neighbourhood_group</t>
  </si>
  <si>
    <t>neighbourhood</t>
  </si>
  <si>
    <t>room_type</t>
  </si>
  <si>
    <t>price ($)</t>
  </si>
  <si>
    <t>minimum_nights</t>
  </si>
  <si>
    <t>number_of_reviews</t>
  </si>
  <si>
    <t>availability_365</t>
  </si>
  <si>
    <t>occupancy_rate (%)</t>
  </si>
  <si>
    <t>notes</t>
  </si>
  <si>
    <t>Brooklyn</t>
  </si>
  <si>
    <t>Kensington</t>
  </si>
  <si>
    <t>Private room</t>
  </si>
  <si>
    <t>Manhattan</t>
  </si>
  <si>
    <t>Midtown</t>
  </si>
  <si>
    <t>Entire home/apt</t>
  </si>
  <si>
    <t>Harlem</t>
  </si>
  <si>
    <t>Clinton Hill</t>
  </si>
  <si>
    <t>East Harlem</t>
  </si>
  <si>
    <t>availability=0 flagged</t>
  </si>
  <si>
    <t>Murray Hill</t>
  </si>
  <si>
    <t>Bedford-Stuyvesant</t>
  </si>
  <si>
    <t>Hell's Kitchen</t>
  </si>
  <si>
    <t>Upper West Side</t>
  </si>
  <si>
    <t>Chinatown</t>
  </si>
  <si>
    <t>South Slope</t>
  </si>
  <si>
    <t>West Village</t>
  </si>
  <si>
    <t>min_nights=90 flagged</t>
  </si>
  <si>
    <t>Williamsburg</t>
  </si>
  <si>
    <t>Fort Greene</t>
  </si>
  <si>
    <t>Queens</t>
  </si>
  <si>
    <t>Astoria</t>
  </si>
  <si>
    <t>Flushing</t>
  </si>
  <si>
    <t>Bronx</t>
  </si>
  <si>
    <t>Mott Haven</t>
  </si>
  <si>
    <t>Staten Island</t>
  </si>
  <si>
    <t>St. George</t>
  </si>
  <si>
    <t>Tribeca</t>
  </si>
  <si>
    <t>Premium listing</t>
  </si>
  <si>
    <t>SoHo</t>
  </si>
  <si>
    <t>Bushwick</t>
  </si>
  <si>
    <t>Long Island City</t>
  </si>
  <si>
    <t>Upper East Side</t>
  </si>
  <si>
    <t>Park Slope</t>
  </si>
  <si>
    <t>Greenwich Village</t>
  </si>
  <si>
    <t>Crown Heights</t>
  </si>
  <si>
    <t>Jackson Heights</t>
  </si>
  <si>
    <t>Riverdale</t>
  </si>
  <si>
    <t>Premium Bronx listing</t>
  </si>
  <si>
    <t>Lower East Side</t>
  </si>
  <si>
    <t>Red Hook</t>
  </si>
  <si>
    <t>Financial District</t>
  </si>
  <si>
    <t>Greenpoint</t>
  </si>
  <si>
    <t>Ridgewood</t>
  </si>
  <si>
    <t>Morningside Heights</t>
  </si>
  <si>
    <t>Flatbush</t>
  </si>
  <si>
    <t>Tompkinsville</t>
  </si>
  <si>
    <t>Inwood</t>
  </si>
  <si>
    <t>Bay Ridge</t>
  </si>
  <si>
    <t>Sunnyside</t>
  </si>
  <si>
    <t>Average Nightly Price by Borough &amp; Room Type</t>
  </si>
  <si>
    <t>Source: SQL Query 1 &amp; 2 results | Data: AB_NYC_2019.csv (48,895 listings)</t>
  </si>
  <si>
    <t>TABLE 1 — Price by Borough &amp; Room Type</t>
  </si>
  <si>
    <t>Borough</t>
  </si>
  <si>
    <t>Shared room</t>
  </si>
  <si>
    <t>Borough Avg</t>
  </si>
  <si>
    <t>NYC Overall Avg</t>
  </si>
  <si>
    <t>TABLE 2 — Occupancy Rate by Borough</t>
  </si>
  <si>
    <t>Avg Price</t>
  </si>
  <si>
    <t>Avg Availability (days)</t>
  </si>
  <si>
    <t>Occupancy Rate</t>
  </si>
  <si>
    <t>Rank</t>
  </si>
  <si>
    <t>NYC Airbnb 2019 — KPI Summary Dashboard</t>
  </si>
  <si>
    <t>All KPIs sourced from SQL query results | Formulas reference raw values in column D</t>
  </si>
  <si>
    <t>KPI</t>
  </si>
  <si>
    <t>Value</t>
  </si>
  <si>
    <t>Unit</t>
  </si>
  <si>
    <t>Raw Value</t>
  </si>
  <si>
    <t>Insight</t>
  </si>
  <si>
    <t>Total Listings</t>
  </si>
  <si>
    <t>Full dataset — all 5 NYC boroughs</t>
  </si>
  <si>
    <t>Total Boroughs</t>
  </si>
  <si>
    <t>Brooklyn, Manhattan, Queens, Bronx, Staten Island</t>
  </si>
  <si>
    <t>Avg Nightly Price</t>
  </si>
  <si>
    <t>$</t>
  </si>
  <si>
    <t>Entire market average across all room types</t>
  </si>
  <si>
    <t>Entire Home Avg Price</t>
  </si>
  <si>
    <t>Most expensive room type — 2.4x private room</t>
  </si>
  <si>
    <t>Private Room Avg Price</t>
  </si>
  <si>
    <t>Most common room type by listing count</t>
  </si>
  <si>
    <t>Shared Room Avg Price</t>
  </si>
  <si>
    <t>Lowest price tier — 1,160 listings only</t>
  </si>
  <si>
    <t>Top Borough Occupancy</t>
  </si>
  <si>
    <t>%</t>
  </si>
  <si>
    <t>Brooklyn — beats Manhattan at 69.3%</t>
  </si>
  <si>
    <t>Lowest Borough Occ.</t>
  </si>
  <si>
    <t>Staten Island — 27 points below Brooklyn</t>
  </si>
  <si>
    <t>Entire Homes Count</t>
  </si>
  <si>
    <t>52% of total market supply</t>
  </si>
  <si>
    <t>Private Rooms Count</t>
  </si>
  <si>
    <t>45.6% of total market supply</t>
  </si>
  <si>
    <t>Shared Rooms Count</t>
  </si>
  <si>
    <t>2.4% of total market — niche segment</t>
  </si>
  <si>
    <t>Single-Listing Hosts</t>
  </si>
  <si>
    <t>86% of all hosts — fragmented market</t>
  </si>
  <si>
    <t>Large Portfolio Hosts</t>
  </si>
  <si>
    <t>10+ listings — avg 31.6 listings each</t>
  </si>
  <si>
    <t>Top Neighbourhood Price</t>
  </si>
  <si>
    <t>Tribeca — highest avg nightly rate in NYC</t>
  </si>
  <si>
    <t>Per year — implies occupancy proxy of ~69%</t>
  </si>
  <si>
    <t>Colour guide:</t>
  </si>
  <si>
    <t>Blue = input values (update these if data changes)</t>
  </si>
  <si>
    <t>Black formula = calculated from input</t>
  </si>
  <si>
    <t>NYC Airbnb — What-If Revenue Projection Model</t>
  </si>
  <si>
    <t>Change the blue input cells to model different pricing and occupancy scenarios</t>
  </si>
  <si>
    <t>INPUTS — Change these values</t>
  </si>
  <si>
    <t>Input</t>
  </si>
  <si>
    <t>Notes</t>
  </si>
  <si>
    <t>Nightly Rate ($)</t>
  </si>
  <si>
    <t>Market avg is $152.72 — try your own listing price</t>
  </si>
  <si>
    <t>Occupancy Rate (%)</t>
  </si>
  <si>
    <t>NYC market avg ~65%. Brooklyn top performer at 72.5%</t>
  </si>
  <si>
    <t>Number of Listings</t>
  </si>
  <si>
    <t>Scale up to model a multi-property portfolio</t>
  </si>
  <si>
    <t>Platform Fee (%)</t>
  </si>
  <si>
    <t>Airbnb host fee — typically 3% of booking subtotal</t>
  </si>
  <si>
    <t>Annual Operating Costs ($)</t>
  </si>
  <si>
    <t>Cleaning, supplies, maintenance estimate</t>
  </si>
  <si>
    <t>OUTPUTS — Calculated Results</t>
  </si>
  <si>
    <t>Metric</t>
  </si>
  <si>
    <t>Your Scenario</t>
  </si>
  <si>
    <t>Brooklyn Benchmark</t>
  </si>
  <si>
    <t>Manhattan Benchmark</t>
  </si>
  <si>
    <t>Occupied Nights / Year</t>
  </si>
  <si>
    <t>Gross Annual Revenue ($)</t>
  </si>
  <si>
    <t>Platform Fee Deduction ($)</t>
  </si>
  <si>
    <t>Net Revenue After Fee ($)</t>
  </si>
  <si>
    <t>Operating Costs ($)</t>
  </si>
  <si>
    <t>Net Annual Profit ($)</t>
  </si>
  <si>
    <t>Monthly Avg Profit ($)</t>
  </si>
  <si>
    <t>📌  How to use: Change B6 (price), B7 (occupancy %), B8 (listings), B9 (fee %), B10 (costs) — all output cells recalculate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</si>
</sst>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\%"/>
    <numFmt numFmtId="166" formatCode="\$#,##0.00"/>
    <numFmt numFmtId="167" formatCode="0.0"/>
  </numFmts>
  <fonts count="15" x14ac:knownFonts="1">
    <font>
      <sz val="11"/>
      <color theme="1"/>
      <name val="Calibri"/>
      <family val="2"/>
      <charset val="1"/>
    </font>
    <font>
      <b/>
      <sz val="14"/>
      <color rgb="FF22223B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22223B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9"/>
      <name val="Arial"/>
      <charset val="1"/>
    </font>
    <font>
      <sz val="9"/>
      <color rgb="FF0000FF"/>
      <name val="Arial"/>
      <charset val="1"/>
    </font>
    <font>
      <sz val="9"/>
      <name val="Arial"/>
      <charset val="1"/>
    </font>
    <font>
      <b/>
      <sz val="11"/>
      <color rgb="FF22223B"/>
      <name val="Arial"/>
      <charset val="1"/>
    </font>
    <font>
      <i/>
      <sz val="9"/>
      <color rgb="FF555555"/>
      <name val="Arial"/>
      <charset val="1"/>
    </font>
    <font>
      <i/>
      <sz val="9"/>
      <color rgb="FF44444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06D77"/>
        <bgColor rgb="FF008080"/>
      </patternFill>
    </fill>
    <fill>
      <patternFill patternType="solid">
        <fgColor rgb="FFF2F2F2"/>
        <bgColor rgb="FFEEF4FF"/>
      </patternFill>
    </fill>
    <fill>
      <patternFill patternType="solid">
        <fgColor rgb="FF22223B"/>
        <bgColor rgb="FF003366"/>
      </patternFill>
    </fill>
    <fill>
      <patternFill patternType="solid">
        <fgColor rgb="FFE29578"/>
        <bgColor rgb="FFFF99CC"/>
      </patternFill>
    </fill>
    <fill>
      <patternFill patternType="solid">
        <fgColor rgb="FFEEF4FF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4" fillId="0" borderId="0" xfId="0" applyFont="1" applyBorder="1" applyAlignment="1">
      <alignment wrapText="1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 indent="1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 indent="1"/>
    </xf>
    <xf numFmtId="165" fontId="4" fillId="3" borderId="1" xfId="0" applyNumberFormat="1" applyFont="1" applyFill="1" applyBorder="1" applyAlignment="1">
      <alignment horizontal="right" vertical="center" indent="1"/>
    </xf>
    <xf numFmtId="0" fontId="4" fillId="0" borderId="1" xfId="0" applyFont="1" applyBorder="1" applyAlignment="1">
      <alignment horizontal="right" vertical="center" inden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 indent="1"/>
    </xf>
    <xf numFmtId="165" fontId="4" fillId="0" borderId="1" xfId="0" applyNumberFormat="1" applyFont="1" applyBorder="1" applyAlignment="1">
      <alignment horizontal="right" vertical="center" indent="1"/>
    </xf>
    <xf numFmtId="0" fontId="5" fillId="0" borderId="0" xfId="0" applyFont="1"/>
    <xf numFmtId="166" fontId="4" fillId="3" borderId="1" xfId="0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6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6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6" fillId="3" borderId="1" xfId="0" applyFont="1" applyFill="1" applyBorder="1"/>
    <xf numFmtId="166" fontId="8" fillId="6" borderId="1" xfId="0" applyNumberFormat="1" applyFont="1" applyFill="1" applyBorder="1" applyAlignment="1">
      <alignment horizontal="center" vertical="center"/>
    </xf>
    <xf numFmtId="0" fontId="13" fillId="0" borderId="1" xfId="0" applyFont="1" applyBorder="1"/>
    <xf numFmtId="0" fontId="6" fillId="0" borderId="1" xfId="0" applyFont="1" applyBorder="1"/>
    <xf numFmtId="165" fontId="8" fillId="6" borderId="1" xfId="0" applyNumberFormat="1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166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D77"/>
      <rgbColor rgb="FFCCCCCC"/>
      <rgbColor rgb="FF808080"/>
      <rgbColor rgb="FF9999FF"/>
      <rgbColor rgb="FF993366"/>
      <rgbColor rgb="FFF2F2F2"/>
      <rgbColor rgb="FFEEF4FF"/>
      <rgbColor rgb="FF660066"/>
      <rgbColor rgb="FFE29578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2222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8" customWidth="1"/>
    <col min="3" max="3" width="22" customWidth="1"/>
    <col min="4" max="4" width="18" customWidth="1"/>
    <col min="5" max="5" width="11" customWidth="1"/>
    <col min="6" max="6" width="16" customWidth="1"/>
    <col min="7" max="7" width="20" customWidth="1"/>
    <col min="8" max="8" width="18" customWidth="1"/>
    <col min="9" max="9" width="20" customWidth="1"/>
    <col min="10" max="10" width="35" customWidth="1"/>
  </cols>
  <sheetData>
    <row r="1" spans="1:10" ht="30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5.7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9.5" customHeight="1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spans="1:10" x14ac:dyDescent="0.35">
      <c r="A4" s="5">
        <v>2539</v>
      </c>
      <c r="B4" s="6" t="s">
        <v>12</v>
      </c>
      <c r="C4" s="6" t="s">
        <v>13</v>
      </c>
      <c r="D4" s="6" t="s">
        <v>14</v>
      </c>
      <c r="E4" s="7">
        <v>149</v>
      </c>
      <c r="F4" s="5">
        <v>1</v>
      </c>
      <c r="G4" s="5">
        <v>9</v>
      </c>
      <c r="H4" s="5">
        <v>365</v>
      </c>
      <c r="I4" s="8">
        <v>0</v>
      </c>
      <c r="J4" s="6"/>
    </row>
    <row r="5" spans="1:10" x14ac:dyDescent="0.35">
      <c r="A5" s="9">
        <v>2595</v>
      </c>
      <c r="B5" s="10" t="s">
        <v>15</v>
      </c>
      <c r="C5" s="10" t="s">
        <v>16</v>
      </c>
      <c r="D5" s="10" t="s">
        <v>17</v>
      </c>
      <c r="E5" s="11">
        <v>225</v>
      </c>
      <c r="F5" s="9">
        <v>1</v>
      </c>
      <c r="G5" s="9">
        <v>45</v>
      </c>
      <c r="H5" s="9">
        <v>355</v>
      </c>
      <c r="I5" s="12">
        <v>2.7</v>
      </c>
      <c r="J5" s="10"/>
    </row>
    <row r="6" spans="1:10" x14ac:dyDescent="0.35">
      <c r="A6" s="5">
        <v>3647</v>
      </c>
      <c r="B6" s="6" t="s">
        <v>15</v>
      </c>
      <c r="C6" s="6" t="s">
        <v>18</v>
      </c>
      <c r="D6" s="6" t="s">
        <v>14</v>
      </c>
      <c r="E6" s="7">
        <v>150</v>
      </c>
      <c r="F6" s="5">
        <v>3</v>
      </c>
      <c r="G6" s="5">
        <v>0</v>
      </c>
      <c r="H6" s="5">
        <v>365</v>
      </c>
      <c r="I6" s="8">
        <v>0</v>
      </c>
      <c r="J6" s="6"/>
    </row>
    <row r="7" spans="1:10" x14ac:dyDescent="0.35">
      <c r="A7" s="9">
        <v>3831</v>
      </c>
      <c r="B7" s="10" t="s">
        <v>12</v>
      </c>
      <c r="C7" s="10" t="s">
        <v>19</v>
      </c>
      <c r="D7" s="10" t="s">
        <v>17</v>
      </c>
      <c r="E7" s="11">
        <v>89</v>
      </c>
      <c r="F7" s="9">
        <v>1</v>
      </c>
      <c r="G7" s="9">
        <v>270</v>
      </c>
      <c r="H7" s="9">
        <v>194</v>
      </c>
      <c r="I7" s="12">
        <v>46.8</v>
      </c>
      <c r="J7" s="10"/>
    </row>
    <row r="8" spans="1:10" x14ac:dyDescent="0.35">
      <c r="A8" s="5">
        <v>5022</v>
      </c>
      <c r="B8" s="6" t="s">
        <v>15</v>
      </c>
      <c r="C8" s="6" t="s">
        <v>20</v>
      </c>
      <c r="D8" s="6" t="s">
        <v>17</v>
      </c>
      <c r="E8" s="7">
        <v>80</v>
      </c>
      <c r="F8" s="5">
        <v>10</v>
      </c>
      <c r="G8" s="5">
        <v>9</v>
      </c>
      <c r="H8" s="5">
        <v>0</v>
      </c>
      <c r="I8" s="8">
        <v>100</v>
      </c>
      <c r="J8" s="6" t="s">
        <v>21</v>
      </c>
    </row>
    <row r="9" spans="1:10" x14ac:dyDescent="0.35">
      <c r="A9" s="9">
        <v>5099</v>
      </c>
      <c r="B9" s="10" t="s">
        <v>15</v>
      </c>
      <c r="C9" s="10" t="s">
        <v>22</v>
      </c>
      <c r="D9" s="10" t="s">
        <v>17</v>
      </c>
      <c r="E9" s="11">
        <v>200</v>
      </c>
      <c r="F9" s="9">
        <v>3</v>
      </c>
      <c r="G9" s="9">
        <v>74</v>
      </c>
      <c r="H9" s="9">
        <v>129</v>
      </c>
      <c r="I9" s="12">
        <v>64.7</v>
      </c>
      <c r="J9" s="10"/>
    </row>
    <row r="10" spans="1:10" x14ac:dyDescent="0.35">
      <c r="A10" s="5">
        <v>5121</v>
      </c>
      <c r="B10" s="6" t="s">
        <v>12</v>
      </c>
      <c r="C10" s="6" t="s">
        <v>23</v>
      </c>
      <c r="D10" s="6" t="s">
        <v>14</v>
      </c>
      <c r="E10" s="7">
        <v>60</v>
      </c>
      <c r="F10" s="5">
        <v>45</v>
      </c>
      <c r="G10" s="5">
        <v>49</v>
      </c>
      <c r="H10" s="5">
        <v>0</v>
      </c>
      <c r="I10" s="8">
        <v>100</v>
      </c>
      <c r="J10" s="6" t="s">
        <v>21</v>
      </c>
    </row>
    <row r="11" spans="1:10" x14ac:dyDescent="0.35">
      <c r="A11" s="9">
        <v>5178</v>
      </c>
      <c r="B11" s="10" t="s">
        <v>15</v>
      </c>
      <c r="C11" s="10" t="s">
        <v>24</v>
      </c>
      <c r="D11" s="10" t="s">
        <v>14</v>
      </c>
      <c r="E11" s="11">
        <v>79</v>
      </c>
      <c r="F11" s="9">
        <v>2</v>
      </c>
      <c r="G11" s="9">
        <v>430</v>
      </c>
      <c r="H11" s="9">
        <v>220</v>
      </c>
      <c r="I11" s="12">
        <v>39.700000000000003</v>
      </c>
      <c r="J11" s="10"/>
    </row>
    <row r="12" spans="1:10" x14ac:dyDescent="0.35">
      <c r="A12" s="5">
        <v>5203</v>
      </c>
      <c r="B12" s="6" t="s">
        <v>15</v>
      </c>
      <c r="C12" s="6" t="s">
        <v>25</v>
      </c>
      <c r="D12" s="6" t="s">
        <v>14</v>
      </c>
      <c r="E12" s="7">
        <v>79</v>
      </c>
      <c r="F12" s="5">
        <v>2</v>
      </c>
      <c r="G12" s="5">
        <v>118</v>
      </c>
      <c r="H12" s="5">
        <v>65</v>
      </c>
      <c r="I12" s="8">
        <v>82.2</v>
      </c>
      <c r="J12" s="6"/>
    </row>
    <row r="13" spans="1:10" x14ac:dyDescent="0.35">
      <c r="A13" s="9">
        <v>5238</v>
      </c>
      <c r="B13" s="10" t="s">
        <v>15</v>
      </c>
      <c r="C13" s="10" t="s">
        <v>26</v>
      </c>
      <c r="D13" s="10" t="s">
        <v>17</v>
      </c>
      <c r="E13" s="11">
        <v>150</v>
      </c>
      <c r="F13" s="9">
        <v>1</v>
      </c>
      <c r="G13" s="9">
        <v>160</v>
      </c>
      <c r="H13" s="9">
        <v>52</v>
      </c>
      <c r="I13" s="12">
        <v>85.8</v>
      </c>
      <c r="J13" s="10"/>
    </row>
    <row r="14" spans="1:10" x14ac:dyDescent="0.35">
      <c r="A14" s="5">
        <v>5295</v>
      </c>
      <c r="B14" s="6" t="s">
        <v>15</v>
      </c>
      <c r="C14" s="6" t="s">
        <v>25</v>
      </c>
      <c r="D14" s="6" t="s">
        <v>17</v>
      </c>
      <c r="E14" s="7">
        <v>135</v>
      </c>
      <c r="F14" s="5">
        <v>5</v>
      </c>
      <c r="G14" s="5">
        <v>50</v>
      </c>
      <c r="H14" s="5">
        <v>39</v>
      </c>
      <c r="I14" s="8">
        <v>89.3</v>
      </c>
      <c r="J14" s="6"/>
    </row>
    <row r="15" spans="1:10" x14ac:dyDescent="0.35">
      <c r="A15" s="9">
        <v>5441</v>
      </c>
      <c r="B15" s="10" t="s">
        <v>15</v>
      </c>
      <c r="C15" s="10" t="s">
        <v>24</v>
      </c>
      <c r="D15" s="10" t="s">
        <v>14</v>
      </c>
      <c r="E15" s="11">
        <v>85</v>
      </c>
      <c r="F15" s="9">
        <v>2</v>
      </c>
      <c r="G15" s="9">
        <v>510</v>
      </c>
      <c r="H15" s="9">
        <v>0</v>
      </c>
      <c r="I15" s="12">
        <v>100</v>
      </c>
      <c r="J15" s="10" t="s">
        <v>21</v>
      </c>
    </row>
    <row r="16" spans="1:10" x14ac:dyDescent="0.35">
      <c r="A16" s="5">
        <v>5803</v>
      </c>
      <c r="B16" s="6" t="s">
        <v>12</v>
      </c>
      <c r="C16" s="6" t="s">
        <v>27</v>
      </c>
      <c r="D16" s="6" t="s">
        <v>14</v>
      </c>
      <c r="E16" s="7">
        <v>89</v>
      </c>
      <c r="F16" s="5">
        <v>4</v>
      </c>
      <c r="G16" s="5">
        <v>167</v>
      </c>
      <c r="H16" s="5">
        <v>270</v>
      </c>
      <c r="I16" s="8">
        <v>26</v>
      </c>
      <c r="J16" s="6"/>
    </row>
    <row r="17" spans="1:10" x14ac:dyDescent="0.35">
      <c r="A17" s="9">
        <v>6021</v>
      </c>
      <c r="B17" s="10" t="s">
        <v>15</v>
      </c>
      <c r="C17" s="10" t="s">
        <v>25</v>
      </c>
      <c r="D17" s="10" t="s">
        <v>14</v>
      </c>
      <c r="E17" s="11">
        <v>85</v>
      </c>
      <c r="F17" s="9">
        <v>2</v>
      </c>
      <c r="G17" s="9">
        <v>148</v>
      </c>
      <c r="H17" s="9">
        <v>60</v>
      </c>
      <c r="I17" s="12">
        <v>83.6</v>
      </c>
      <c r="J17" s="10"/>
    </row>
    <row r="18" spans="1:10" x14ac:dyDescent="0.35">
      <c r="A18" s="5">
        <v>6090</v>
      </c>
      <c r="B18" s="6" t="s">
        <v>15</v>
      </c>
      <c r="C18" s="6" t="s">
        <v>28</v>
      </c>
      <c r="D18" s="6" t="s">
        <v>17</v>
      </c>
      <c r="E18" s="7">
        <v>120</v>
      </c>
      <c r="F18" s="5">
        <v>90</v>
      </c>
      <c r="G18" s="5">
        <v>26</v>
      </c>
      <c r="H18" s="5">
        <v>0</v>
      </c>
      <c r="I18" s="8">
        <v>100</v>
      </c>
      <c r="J18" s="6" t="s">
        <v>29</v>
      </c>
    </row>
    <row r="19" spans="1:10" x14ac:dyDescent="0.35">
      <c r="A19" s="9">
        <v>6848</v>
      </c>
      <c r="B19" s="10" t="s">
        <v>12</v>
      </c>
      <c r="C19" s="10" t="s">
        <v>30</v>
      </c>
      <c r="D19" s="10" t="s">
        <v>17</v>
      </c>
      <c r="E19" s="11">
        <v>140</v>
      </c>
      <c r="F19" s="9">
        <v>2</v>
      </c>
      <c r="G19" s="9">
        <v>238</v>
      </c>
      <c r="H19" s="9">
        <v>271</v>
      </c>
      <c r="I19" s="12">
        <v>25.8</v>
      </c>
      <c r="J19" s="10"/>
    </row>
    <row r="20" spans="1:10" x14ac:dyDescent="0.35">
      <c r="A20" s="5">
        <v>7097</v>
      </c>
      <c r="B20" s="6" t="s">
        <v>12</v>
      </c>
      <c r="C20" s="6" t="s">
        <v>31</v>
      </c>
      <c r="D20" s="6" t="s">
        <v>17</v>
      </c>
      <c r="E20" s="7">
        <v>215</v>
      </c>
      <c r="F20" s="5">
        <v>2</v>
      </c>
      <c r="G20" s="5">
        <v>167</v>
      </c>
      <c r="H20" s="5">
        <v>47</v>
      </c>
      <c r="I20" s="8">
        <v>87.1</v>
      </c>
      <c r="J20" s="6"/>
    </row>
    <row r="21" spans="1:10" x14ac:dyDescent="0.35">
      <c r="A21" s="9">
        <v>7322</v>
      </c>
      <c r="B21" s="10" t="s">
        <v>15</v>
      </c>
      <c r="C21" s="10" t="s">
        <v>22</v>
      </c>
      <c r="D21" s="10" t="s">
        <v>17</v>
      </c>
      <c r="E21" s="11">
        <v>200</v>
      </c>
      <c r="F21" s="9">
        <v>3</v>
      </c>
      <c r="G21" s="9">
        <v>74</v>
      </c>
      <c r="H21" s="9">
        <v>129</v>
      </c>
      <c r="I21" s="12">
        <v>64.7</v>
      </c>
      <c r="J21" s="10"/>
    </row>
    <row r="22" spans="1:10" x14ac:dyDescent="0.35">
      <c r="A22" s="5">
        <v>7356</v>
      </c>
      <c r="B22" s="6" t="s">
        <v>12</v>
      </c>
      <c r="C22" s="6" t="s">
        <v>23</v>
      </c>
      <c r="D22" s="6" t="s">
        <v>14</v>
      </c>
      <c r="E22" s="7">
        <v>60</v>
      </c>
      <c r="F22" s="5">
        <v>45</v>
      </c>
      <c r="G22" s="5">
        <v>49</v>
      </c>
      <c r="H22" s="5">
        <v>0</v>
      </c>
      <c r="I22" s="8">
        <v>100</v>
      </c>
      <c r="J22" s="6"/>
    </row>
    <row r="23" spans="1:10" x14ac:dyDescent="0.35">
      <c r="A23" s="9">
        <v>8967</v>
      </c>
      <c r="B23" s="10" t="s">
        <v>15</v>
      </c>
      <c r="C23" s="10" t="s">
        <v>24</v>
      </c>
      <c r="D23" s="10" t="s">
        <v>14</v>
      </c>
      <c r="E23" s="11">
        <v>79</v>
      </c>
      <c r="F23" s="9">
        <v>2</v>
      </c>
      <c r="G23" s="9">
        <v>430</v>
      </c>
      <c r="H23" s="9">
        <v>220</v>
      </c>
      <c r="I23" s="12">
        <v>39.700000000000003</v>
      </c>
      <c r="J23" s="10"/>
    </row>
    <row r="24" spans="1:10" x14ac:dyDescent="0.35">
      <c r="A24" s="5">
        <v>9744</v>
      </c>
      <c r="B24" s="6" t="s">
        <v>12</v>
      </c>
      <c r="C24" s="6" t="s">
        <v>27</v>
      </c>
      <c r="D24" s="6" t="s">
        <v>14</v>
      </c>
      <c r="E24" s="7">
        <v>89</v>
      </c>
      <c r="F24" s="5">
        <v>4</v>
      </c>
      <c r="G24" s="5">
        <v>167</v>
      </c>
      <c r="H24" s="5">
        <v>270</v>
      </c>
      <c r="I24" s="8">
        <v>26</v>
      </c>
      <c r="J24" s="6"/>
    </row>
    <row r="25" spans="1:10" x14ac:dyDescent="0.35">
      <c r="A25" s="9">
        <v>11528</v>
      </c>
      <c r="B25" s="10" t="s">
        <v>15</v>
      </c>
      <c r="C25" s="10" t="s">
        <v>25</v>
      </c>
      <c r="D25" s="10" t="s">
        <v>14</v>
      </c>
      <c r="E25" s="11">
        <v>85</v>
      </c>
      <c r="F25" s="9">
        <v>2</v>
      </c>
      <c r="G25" s="9">
        <v>148</v>
      </c>
      <c r="H25" s="9">
        <v>60</v>
      </c>
      <c r="I25" s="12">
        <v>83.6</v>
      </c>
      <c r="J25" s="10"/>
    </row>
    <row r="26" spans="1:10" x14ac:dyDescent="0.35">
      <c r="A26" s="5">
        <v>11975</v>
      </c>
      <c r="B26" s="6" t="s">
        <v>15</v>
      </c>
      <c r="C26" s="6" t="s">
        <v>28</v>
      </c>
      <c r="D26" s="6" t="s">
        <v>17</v>
      </c>
      <c r="E26" s="7">
        <v>120</v>
      </c>
      <c r="F26" s="5">
        <v>90</v>
      </c>
      <c r="G26" s="5">
        <v>26</v>
      </c>
      <c r="H26" s="5">
        <v>0</v>
      </c>
      <c r="I26" s="8">
        <v>100</v>
      </c>
      <c r="J26" s="6"/>
    </row>
    <row r="27" spans="1:10" x14ac:dyDescent="0.35">
      <c r="A27" s="9">
        <v>15991</v>
      </c>
      <c r="B27" s="10" t="s">
        <v>12</v>
      </c>
      <c r="C27" s="10" t="s">
        <v>30</v>
      </c>
      <c r="D27" s="10" t="s">
        <v>17</v>
      </c>
      <c r="E27" s="11">
        <v>140</v>
      </c>
      <c r="F27" s="9">
        <v>2</v>
      </c>
      <c r="G27" s="9">
        <v>238</v>
      </c>
      <c r="H27" s="9">
        <v>271</v>
      </c>
      <c r="I27" s="12">
        <v>25.8</v>
      </c>
      <c r="J27" s="10"/>
    </row>
    <row r="28" spans="1:10" x14ac:dyDescent="0.35">
      <c r="A28" s="5">
        <v>17571</v>
      </c>
      <c r="B28" s="6" t="s">
        <v>12</v>
      </c>
      <c r="C28" s="6" t="s">
        <v>31</v>
      </c>
      <c r="D28" s="6" t="s">
        <v>17</v>
      </c>
      <c r="E28" s="7">
        <v>215</v>
      </c>
      <c r="F28" s="5">
        <v>2</v>
      </c>
      <c r="G28" s="5">
        <v>167</v>
      </c>
      <c r="H28" s="5">
        <v>47</v>
      </c>
      <c r="I28" s="8">
        <v>87.1</v>
      </c>
      <c r="J28" s="6"/>
    </row>
    <row r="29" spans="1:10" x14ac:dyDescent="0.35">
      <c r="A29" s="9">
        <v>18170</v>
      </c>
      <c r="B29" s="10" t="s">
        <v>32</v>
      </c>
      <c r="C29" s="10" t="s">
        <v>33</v>
      </c>
      <c r="D29" s="10" t="s">
        <v>14</v>
      </c>
      <c r="E29" s="11">
        <v>65</v>
      </c>
      <c r="F29" s="9">
        <v>1</v>
      </c>
      <c r="G29" s="9">
        <v>84</v>
      </c>
      <c r="H29" s="9">
        <v>285</v>
      </c>
      <c r="I29" s="12">
        <v>21.9</v>
      </c>
      <c r="J29" s="10"/>
    </row>
    <row r="30" spans="1:10" x14ac:dyDescent="0.35">
      <c r="A30" s="5">
        <v>18995</v>
      </c>
      <c r="B30" s="6" t="s">
        <v>32</v>
      </c>
      <c r="C30" s="6" t="s">
        <v>34</v>
      </c>
      <c r="D30" s="6" t="s">
        <v>17</v>
      </c>
      <c r="E30" s="7">
        <v>90</v>
      </c>
      <c r="F30" s="5">
        <v>2</v>
      </c>
      <c r="G30" s="5">
        <v>23</v>
      </c>
      <c r="H30" s="5">
        <v>0</v>
      </c>
      <c r="I30" s="8">
        <v>100</v>
      </c>
      <c r="J30" s="6" t="s">
        <v>21</v>
      </c>
    </row>
    <row r="31" spans="1:10" x14ac:dyDescent="0.35">
      <c r="A31" s="9">
        <v>19315</v>
      </c>
      <c r="B31" s="10" t="s">
        <v>35</v>
      </c>
      <c r="C31" s="10" t="s">
        <v>36</v>
      </c>
      <c r="D31" s="10" t="s">
        <v>14</v>
      </c>
      <c r="E31" s="11">
        <v>45</v>
      </c>
      <c r="F31" s="9">
        <v>3</v>
      </c>
      <c r="G31" s="9">
        <v>12</v>
      </c>
      <c r="H31" s="9">
        <v>320</v>
      </c>
      <c r="I31" s="12">
        <v>12.3</v>
      </c>
      <c r="J31" s="10"/>
    </row>
    <row r="32" spans="1:10" x14ac:dyDescent="0.35">
      <c r="A32" s="5">
        <v>20168</v>
      </c>
      <c r="B32" s="6" t="s">
        <v>37</v>
      </c>
      <c r="C32" s="6" t="s">
        <v>38</v>
      </c>
      <c r="D32" s="6" t="s">
        <v>17</v>
      </c>
      <c r="E32" s="7">
        <v>115</v>
      </c>
      <c r="F32" s="5">
        <v>2</v>
      </c>
      <c r="G32" s="5">
        <v>6</v>
      </c>
      <c r="H32" s="5">
        <v>365</v>
      </c>
      <c r="I32" s="8">
        <v>0</v>
      </c>
      <c r="J32" s="6"/>
    </row>
    <row r="33" spans="1:10" x14ac:dyDescent="0.35">
      <c r="A33" s="9">
        <v>21352</v>
      </c>
      <c r="B33" s="10" t="s">
        <v>15</v>
      </c>
      <c r="C33" s="10" t="s">
        <v>39</v>
      </c>
      <c r="D33" s="10" t="s">
        <v>17</v>
      </c>
      <c r="E33" s="11">
        <v>490</v>
      </c>
      <c r="F33" s="9">
        <v>2</v>
      </c>
      <c r="G33" s="9">
        <v>8</v>
      </c>
      <c r="H33" s="9">
        <v>180</v>
      </c>
      <c r="I33" s="12">
        <v>50.7</v>
      </c>
      <c r="J33" s="10" t="s">
        <v>40</v>
      </c>
    </row>
    <row r="34" spans="1:10" x14ac:dyDescent="0.35">
      <c r="A34" s="5">
        <v>22395</v>
      </c>
      <c r="B34" s="6" t="s">
        <v>15</v>
      </c>
      <c r="C34" s="6" t="s">
        <v>41</v>
      </c>
      <c r="D34" s="6" t="s">
        <v>17</v>
      </c>
      <c r="E34" s="7">
        <v>287</v>
      </c>
      <c r="F34" s="5">
        <v>1</v>
      </c>
      <c r="G34" s="5">
        <v>45</v>
      </c>
      <c r="H34" s="5">
        <v>90</v>
      </c>
      <c r="I34" s="8">
        <v>75.3</v>
      </c>
      <c r="J34" s="6"/>
    </row>
    <row r="35" spans="1:10" x14ac:dyDescent="0.35">
      <c r="A35" s="9">
        <v>23418</v>
      </c>
      <c r="B35" s="10" t="s">
        <v>12</v>
      </c>
      <c r="C35" s="10" t="s">
        <v>42</v>
      </c>
      <c r="D35" s="10" t="s">
        <v>14</v>
      </c>
      <c r="E35" s="11">
        <v>55</v>
      </c>
      <c r="F35" s="9">
        <v>2</v>
      </c>
      <c r="G35" s="9">
        <v>201</v>
      </c>
      <c r="H35" s="9">
        <v>195</v>
      </c>
      <c r="I35" s="12">
        <v>46.6</v>
      </c>
      <c r="J35" s="10"/>
    </row>
    <row r="36" spans="1:10" x14ac:dyDescent="0.35">
      <c r="A36" s="5">
        <v>24501</v>
      </c>
      <c r="B36" s="6" t="s">
        <v>32</v>
      </c>
      <c r="C36" s="6" t="s">
        <v>43</v>
      </c>
      <c r="D36" s="6" t="s">
        <v>17</v>
      </c>
      <c r="E36" s="7">
        <v>80</v>
      </c>
      <c r="F36" s="5">
        <v>1</v>
      </c>
      <c r="G36" s="5">
        <v>112</v>
      </c>
      <c r="H36" s="5">
        <v>240</v>
      </c>
      <c r="I36" s="8">
        <v>34.200000000000003</v>
      </c>
      <c r="J36" s="6"/>
    </row>
    <row r="37" spans="1:10" x14ac:dyDescent="0.35">
      <c r="A37" s="9">
        <v>25670</v>
      </c>
      <c r="B37" s="10" t="s">
        <v>15</v>
      </c>
      <c r="C37" s="10" t="s">
        <v>44</v>
      </c>
      <c r="D37" s="10" t="s">
        <v>17</v>
      </c>
      <c r="E37" s="11">
        <v>175</v>
      </c>
      <c r="F37" s="9">
        <v>3</v>
      </c>
      <c r="G37" s="9">
        <v>89</v>
      </c>
      <c r="H37" s="9">
        <v>120</v>
      </c>
      <c r="I37" s="12">
        <v>67.099999999999994</v>
      </c>
      <c r="J37" s="10"/>
    </row>
    <row r="38" spans="1:10" x14ac:dyDescent="0.35">
      <c r="A38" s="5">
        <v>26789</v>
      </c>
      <c r="B38" s="6" t="s">
        <v>12</v>
      </c>
      <c r="C38" s="6" t="s">
        <v>45</v>
      </c>
      <c r="D38" s="6" t="s">
        <v>17</v>
      </c>
      <c r="E38" s="7">
        <v>165</v>
      </c>
      <c r="F38" s="5">
        <v>2</v>
      </c>
      <c r="G38" s="5">
        <v>134</v>
      </c>
      <c r="H38" s="5">
        <v>95</v>
      </c>
      <c r="I38" s="8">
        <v>74</v>
      </c>
      <c r="J38" s="6"/>
    </row>
    <row r="39" spans="1:10" x14ac:dyDescent="0.35">
      <c r="A39" s="9">
        <v>27834</v>
      </c>
      <c r="B39" s="10" t="s">
        <v>15</v>
      </c>
      <c r="C39" s="10" t="s">
        <v>46</v>
      </c>
      <c r="D39" s="10" t="s">
        <v>17</v>
      </c>
      <c r="E39" s="11">
        <v>250</v>
      </c>
      <c r="F39" s="9">
        <v>2</v>
      </c>
      <c r="G39" s="9">
        <v>67</v>
      </c>
      <c r="H39" s="9">
        <v>60</v>
      </c>
      <c r="I39" s="12">
        <v>83.6</v>
      </c>
      <c r="J39" s="10"/>
    </row>
    <row r="40" spans="1:10" x14ac:dyDescent="0.35">
      <c r="A40" s="5">
        <v>28901</v>
      </c>
      <c r="B40" s="6" t="s">
        <v>12</v>
      </c>
      <c r="C40" s="6" t="s">
        <v>47</v>
      </c>
      <c r="D40" s="6" t="s">
        <v>14</v>
      </c>
      <c r="E40" s="7">
        <v>65</v>
      </c>
      <c r="F40" s="5">
        <v>2</v>
      </c>
      <c r="G40" s="5">
        <v>178</v>
      </c>
      <c r="H40" s="5">
        <v>210</v>
      </c>
      <c r="I40" s="8">
        <v>42.5</v>
      </c>
      <c r="J40" s="6"/>
    </row>
    <row r="41" spans="1:10" x14ac:dyDescent="0.35">
      <c r="A41" s="9">
        <v>29045</v>
      </c>
      <c r="B41" s="10" t="s">
        <v>32</v>
      </c>
      <c r="C41" s="10" t="s">
        <v>48</v>
      </c>
      <c r="D41" s="10" t="s">
        <v>14</v>
      </c>
      <c r="E41" s="11">
        <v>50</v>
      </c>
      <c r="F41" s="9">
        <v>1</v>
      </c>
      <c r="G41" s="9">
        <v>56</v>
      </c>
      <c r="H41" s="9">
        <v>300</v>
      </c>
      <c r="I41" s="12">
        <v>17.8</v>
      </c>
      <c r="J41" s="10"/>
    </row>
    <row r="42" spans="1:10" x14ac:dyDescent="0.35">
      <c r="A42" s="5">
        <v>30112</v>
      </c>
      <c r="B42" s="6" t="s">
        <v>35</v>
      </c>
      <c r="C42" s="6" t="s">
        <v>49</v>
      </c>
      <c r="D42" s="6" t="s">
        <v>17</v>
      </c>
      <c r="E42" s="7">
        <v>442</v>
      </c>
      <c r="F42" s="5">
        <v>2</v>
      </c>
      <c r="G42" s="5">
        <v>3</v>
      </c>
      <c r="H42" s="5">
        <v>350</v>
      </c>
      <c r="I42" s="8">
        <v>4.0999999999999996</v>
      </c>
      <c r="J42" s="6" t="s">
        <v>50</v>
      </c>
    </row>
    <row r="43" spans="1:10" x14ac:dyDescent="0.35">
      <c r="A43" s="9">
        <v>31234</v>
      </c>
      <c r="B43" s="10" t="s">
        <v>15</v>
      </c>
      <c r="C43" s="10" t="s">
        <v>51</v>
      </c>
      <c r="D43" s="10" t="s">
        <v>14</v>
      </c>
      <c r="E43" s="11">
        <v>95</v>
      </c>
      <c r="F43" s="9">
        <v>1</v>
      </c>
      <c r="G43" s="9">
        <v>234</v>
      </c>
      <c r="H43" s="9">
        <v>75</v>
      </c>
      <c r="I43" s="12">
        <v>79.5</v>
      </c>
      <c r="J43" s="10"/>
    </row>
    <row r="44" spans="1:10" x14ac:dyDescent="0.35">
      <c r="A44" s="5">
        <v>32345</v>
      </c>
      <c r="B44" s="6" t="s">
        <v>12</v>
      </c>
      <c r="C44" s="6" t="s">
        <v>52</v>
      </c>
      <c r="D44" s="6" t="s">
        <v>17</v>
      </c>
      <c r="E44" s="7">
        <v>145</v>
      </c>
      <c r="F44" s="5">
        <v>3</v>
      </c>
      <c r="G44" s="5">
        <v>45</v>
      </c>
      <c r="H44" s="5">
        <v>180</v>
      </c>
      <c r="I44" s="8">
        <v>50.7</v>
      </c>
      <c r="J44" s="6"/>
    </row>
    <row r="45" spans="1:10" x14ac:dyDescent="0.35">
      <c r="A45" s="9">
        <v>33456</v>
      </c>
      <c r="B45" s="10" t="s">
        <v>15</v>
      </c>
      <c r="C45" s="10" t="s">
        <v>53</v>
      </c>
      <c r="D45" s="10" t="s">
        <v>17</v>
      </c>
      <c r="E45" s="11">
        <v>210</v>
      </c>
      <c r="F45" s="9">
        <v>2</v>
      </c>
      <c r="G45" s="9">
        <v>78</v>
      </c>
      <c r="H45" s="9">
        <v>145</v>
      </c>
      <c r="I45" s="12">
        <v>60.3</v>
      </c>
      <c r="J45" s="10"/>
    </row>
    <row r="46" spans="1:10" x14ac:dyDescent="0.35">
      <c r="A46" s="5">
        <v>34567</v>
      </c>
      <c r="B46" s="6" t="s">
        <v>12</v>
      </c>
      <c r="C46" s="6" t="s">
        <v>54</v>
      </c>
      <c r="D46" s="6" t="s">
        <v>14</v>
      </c>
      <c r="E46" s="7">
        <v>70</v>
      </c>
      <c r="F46" s="5">
        <v>2</v>
      </c>
      <c r="G46" s="5">
        <v>156</v>
      </c>
      <c r="H46" s="5">
        <v>220</v>
      </c>
      <c r="I46" s="8">
        <v>39.700000000000003</v>
      </c>
      <c r="J46" s="6"/>
    </row>
    <row r="47" spans="1:10" x14ac:dyDescent="0.35">
      <c r="A47" s="9">
        <v>35678</v>
      </c>
      <c r="B47" s="10" t="s">
        <v>32</v>
      </c>
      <c r="C47" s="10" t="s">
        <v>55</v>
      </c>
      <c r="D47" s="10" t="s">
        <v>14</v>
      </c>
      <c r="E47" s="11">
        <v>55</v>
      </c>
      <c r="F47" s="9">
        <v>1</v>
      </c>
      <c r="G47" s="9">
        <v>89</v>
      </c>
      <c r="H47" s="9">
        <v>290</v>
      </c>
      <c r="I47" s="12">
        <v>20.5</v>
      </c>
      <c r="J47" s="10"/>
    </row>
    <row r="48" spans="1:10" x14ac:dyDescent="0.35">
      <c r="A48" s="5">
        <v>36789</v>
      </c>
      <c r="B48" s="6" t="s">
        <v>15</v>
      </c>
      <c r="C48" s="6" t="s">
        <v>56</v>
      </c>
      <c r="D48" s="6" t="s">
        <v>14</v>
      </c>
      <c r="E48" s="7">
        <v>85</v>
      </c>
      <c r="F48" s="5">
        <v>2</v>
      </c>
      <c r="G48" s="5">
        <v>112</v>
      </c>
      <c r="H48" s="5">
        <v>165</v>
      </c>
      <c r="I48" s="8">
        <v>54.8</v>
      </c>
      <c r="J48" s="6"/>
    </row>
    <row r="49" spans="1:10" x14ac:dyDescent="0.35">
      <c r="A49" s="9">
        <v>37890</v>
      </c>
      <c r="B49" s="10" t="s">
        <v>12</v>
      </c>
      <c r="C49" s="10" t="s">
        <v>57</v>
      </c>
      <c r="D49" s="10" t="s">
        <v>14</v>
      </c>
      <c r="E49" s="11">
        <v>60</v>
      </c>
      <c r="F49" s="9">
        <v>2</v>
      </c>
      <c r="G49" s="9">
        <v>67</v>
      </c>
      <c r="H49" s="9">
        <v>240</v>
      </c>
      <c r="I49" s="12">
        <v>34.200000000000003</v>
      </c>
      <c r="J49" s="10"/>
    </row>
    <row r="50" spans="1:10" x14ac:dyDescent="0.35">
      <c r="A50" s="5">
        <v>38901</v>
      </c>
      <c r="B50" s="6" t="s">
        <v>37</v>
      </c>
      <c r="C50" s="6" t="s">
        <v>58</v>
      </c>
      <c r="D50" s="6" t="s">
        <v>14</v>
      </c>
      <c r="E50" s="7">
        <v>75</v>
      </c>
      <c r="F50" s="5">
        <v>1</v>
      </c>
      <c r="G50" s="5">
        <v>4</v>
      </c>
      <c r="H50" s="5">
        <v>300</v>
      </c>
      <c r="I50" s="8">
        <v>17.8</v>
      </c>
      <c r="J50" s="6"/>
    </row>
    <row r="51" spans="1:10" x14ac:dyDescent="0.35">
      <c r="A51" s="9">
        <v>39012</v>
      </c>
      <c r="B51" s="10" t="s">
        <v>15</v>
      </c>
      <c r="C51" s="10" t="s">
        <v>59</v>
      </c>
      <c r="D51" s="10" t="s">
        <v>14</v>
      </c>
      <c r="E51" s="11">
        <v>70</v>
      </c>
      <c r="F51" s="9">
        <v>1</v>
      </c>
      <c r="G51" s="9">
        <v>89</v>
      </c>
      <c r="H51" s="9">
        <v>195</v>
      </c>
      <c r="I51" s="12">
        <v>46.6</v>
      </c>
      <c r="J51" s="10"/>
    </row>
    <row r="52" spans="1:10" x14ac:dyDescent="0.35">
      <c r="A52" s="5">
        <v>40123</v>
      </c>
      <c r="B52" s="6" t="s">
        <v>12</v>
      </c>
      <c r="C52" s="6" t="s">
        <v>60</v>
      </c>
      <c r="D52" s="6" t="s">
        <v>17</v>
      </c>
      <c r="E52" s="7">
        <v>120</v>
      </c>
      <c r="F52" s="5">
        <v>2</v>
      </c>
      <c r="G52" s="5">
        <v>34</v>
      </c>
      <c r="H52" s="5">
        <v>210</v>
      </c>
      <c r="I52" s="8">
        <v>42.5</v>
      </c>
      <c r="J52" s="6"/>
    </row>
    <row r="53" spans="1:10" x14ac:dyDescent="0.35">
      <c r="A53" s="9">
        <v>41234</v>
      </c>
      <c r="B53" s="10" t="s">
        <v>32</v>
      </c>
      <c r="C53" s="10" t="s">
        <v>61</v>
      </c>
      <c r="D53" s="10" t="s">
        <v>17</v>
      </c>
      <c r="E53" s="11">
        <v>95</v>
      </c>
      <c r="F53" s="9">
        <v>2</v>
      </c>
      <c r="G53" s="9">
        <v>45</v>
      </c>
      <c r="H53" s="9">
        <v>255</v>
      </c>
      <c r="I53" s="12">
        <v>30.1</v>
      </c>
      <c r="J53" s="10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showGridLines="0" tabSelected="1" zoomScaleNormal="100" workbookViewId="0">
      <selection activeCell="C16" sqref="C16"/>
    </sheetView>
  </sheetViews>
  <sheetFormatPr defaultColWidth="8.6328125" defaultRowHeight="14.5" x14ac:dyDescent="0.35"/>
  <cols>
    <col min="1" max="1" width="20" customWidth="1"/>
    <col min="2" max="2" width="18" customWidth="1"/>
    <col min="3" max="3" width="24" customWidth="1"/>
    <col min="4" max="4" width="16" customWidth="1"/>
    <col min="5" max="5" width="14" customWidth="1"/>
  </cols>
  <sheetData>
    <row r="1" spans="1:7" ht="30" customHeight="1" x14ac:dyDescent="0.35">
      <c r="A1" s="3" t="s">
        <v>62</v>
      </c>
      <c r="B1" s="3"/>
      <c r="C1" s="3"/>
      <c r="D1" s="3"/>
      <c r="E1" s="3"/>
      <c r="F1" s="3"/>
      <c r="G1" s="3"/>
    </row>
    <row r="2" spans="1:7" ht="15.75" customHeight="1" x14ac:dyDescent="0.35">
      <c r="A2" s="2" t="s">
        <v>63</v>
      </c>
      <c r="B2" s="2"/>
      <c r="C2" s="2"/>
      <c r="D2" s="2"/>
      <c r="E2" s="2"/>
      <c r="F2" s="2"/>
      <c r="G2" s="2"/>
    </row>
    <row r="3" spans="1:7" x14ac:dyDescent="0.35">
      <c r="A3" s="13" t="s">
        <v>64</v>
      </c>
    </row>
    <row r="4" spans="1:7" x14ac:dyDescent="0.35">
      <c r="A4" s="4" t="s">
        <v>65</v>
      </c>
      <c r="B4" s="4" t="s">
        <v>17</v>
      </c>
      <c r="C4" s="4" t="s">
        <v>14</v>
      </c>
      <c r="D4" s="4" t="s">
        <v>66</v>
      </c>
      <c r="E4" s="4" t="s">
        <v>67</v>
      </c>
    </row>
    <row r="5" spans="1:7" x14ac:dyDescent="0.35">
      <c r="A5" s="6" t="s">
        <v>12</v>
      </c>
      <c r="B5" s="14">
        <v>124.38</v>
      </c>
      <c r="C5" s="14">
        <v>76.5</v>
      </c>
      <c r="D5" s="14">
        <v>55.2</v>
      </c>
      <c r="E5" s="14">
        <f>AVERAGE(B5:D5)</f>
        <v>85.36</v>
      </c>
    </row>
    <row r="6" spans="1:7" x14ac:dyDescent="0.35">
      <c r="A6" s="10" t="s">
        <v>15</v>
      </c>
      <c r="B6" s="15">
        <v>196.88</v>
      </c>
      <c r="C6" s="15">
        <v>116.78</v>
      </c>
      <c r="D6" s="15">
        <v>88.45</v>
      </c>
      <c r="E6" s="15">
        <f>AVERAGE(B6:D6)</f>
        <v>134.03666666666666</v>
      </c>
    </row>
    <row r="7" spans="1:7" x14ac:dyDescent="0.35">
      <c r="A7" s="6" t="s">
        <v>32</v>
      </c>
      <c r="B7" s="14">
        <v>99.52</v>
      </c>
      <c r="C7" s="14">
        <v>71.34</v>
      </c>
      <c r="D7" s="14">
        <v>48.9</v>
      </c>
      <c r="E7" s="14">
        <f>AVERAGE(B7:D7)</f>
        <v>73.253333333333345</v>
      </c>
    </row>
    <row r="8" spans="1:7" x14ac:dyDescent="0.35">
      <c r="A8" s="10" t="s">
        <v>35</v>
      </c>
      <c r="B8" s="15">
        <v>87.5</v>
      </c>
      <c r="C8" s="15">
        <v>59.62</v>
      </c>
      <c r="D8" s="15">
        <v>41.3</v>
      </c>
      <c r="E8" s="15">
        <f>AVERAGE(B8:D8)</f>
        <v>62.806666666666672</v>
      </c>
    </row>
    <row r="9" spans="1:7" x14ac:dyDescent="0.35">
      <c r="A9" s="6" t="s">
        <v>37</v>
      </c>
      <c r="B9" s="14">
        <v>114.81</v>
      </c>
      <c r="C9" s="14">
        <v>78.45</v>
      </c>
      <c r="D9" s="14">
        <v>52.1</v>
      </c>
      <c r="E9" s="14">
        <f>AVERAGE(B9:D9)</f>
        <v>81.786666666666662</v>
      </c>
    </row>
    <row r="10" spans="1:7" x14ac:dyDescent="0.35">
      <c r="A10" s="16" t="s">
        <v>68</v>
      </c>
      <c r="B10" s="17">
        <f>AVERAGE(B5:B9)</f>
        <v>124.61799999999998</v>
      </c>
      <c r="C10" s="17">
        <f>AVERAGE(C5:C9)</f>
        <v>80.537999999999997</v>
      </c>
      <c r="D10" s="17">
        <f>AVERAGE(D5:D9)</f>
        <v>57.190000000000012</v>
      </c>
      <c r="E10" s="17">
        <f>AVERAGE(E5:E9)</f>
        <v>87.448666666666668</v>
      </c>
    </row>
    <row r="12" spans="1:7" x14ac:dyDescent="0.35">
      <c r="A12" s="13" t="s">
        <v>69</v>
      </c>
    </row>
    <row r="13" spans="1:7" x14ac:dyDescent="0.35">
      <c r="A13" s="18" t="s">
        <v>65</v>
      </c>
      <c r="B13" s="18" t="s">
        <v>70</v>
      </c>
      <c r="C13" s="18" t="s">
        <v>71</v>
      </c>
      <c r="D13" s="18" t="s">
        <v>72</v>
      </c>
      <c r="E13" s="18" t="s">
        <v>73</v>
      </c>
    </row>
    <row r="14" spans="1:7" x14ac:dyDescent="0.35">
      <c r="A14" s="10" t="s">
        <v>12</v>
      </c>
      <c r="B14" s="15">
        <v>124.38</v>
      </c>
      <c r="C14" s="19">
        <v>100.2</v>
      </c>
      <c r="D14" s="20">
        <v>72.5</v>
      </c>
      <c r="E14" s="21">
        <v>1</v>
      </c>
    </row>
    <row r="15" spans="1:7" x14ac:dyDescent="0.35">
      <c r="A15" s="6" t="s">
        <v>15</v>
      </c>
      <c r="B15" s="14">
        <v>196.88</v>
      </c>
      <c r="C15" s="22">
        <v>112</v>
      </c>
      <c r="D15" s="23">
        <v>69.3</v>
      </c>
      <c r="E15" s="24">
        <v>2</v>
      </c>
    </row>
    <row r="16" spans="1:7" x14ac:dyDescent="0.35">
      <c r="A16" s="10" t="s">
        <v>32</v>
      </c>
      <c r="B16" s="15">
        <v>99.52</v>
      </c>
      <c r="C16" s="19">
        <v>144.5</v>
      </c>
      <c r="D16" s="20">
        <v>60.4</v>
      </c>
      <c r="E16" s="21">
        <v>3</v>
      </c>
    </row>
    <row r="17" spans="1:5" x14ac:dyDescent="0.35">
      <c r="A17" s="6" t="s">
        <v>35</v>
      </c>
      <c r="B17" s="14">
        <v>87.5</v>
      </c>
      <c r="C17" s="22">
        <v>165.8</v>
      </c>
      <c r="D17" s="23">
        <v>54.6</v>
      </c>
      <c r="E17" s="24">
        <v>4</v>
      </c>
    </row>
    <row r="18" spans="1:5" x14ac:dyDescent="0.35">
      <c r="A18" s="10" t="s">
        <v>37</v>
      </c>
      <c r="B18" s="15">
        <v>114.81</v>
      </c>
      <c r="C18" s="19">
        <v>199.7</v>
      </c>
      <c r="D18" s="20">
        <v>45.3</v>
      </c>
      <c r="E18" s="21">
        <v>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showGridLines="0" zoomScaleNormal="100" workbookViewId="0"/>
  </sheetViews>
  <sheetFormatPr defaultColWidth="8.6328125" defaultRowHeight="14.5" x14ac:dyDescent="0.35"/>
  <cols>
    <col min="1" max="1" width="30" customWidth="1"/>
    <col min="2" max="2" width="14" customWidth="1"/>
    <col min="3" max="3" width="8" customWidth="1"/>
    <col min="4" max="4" width="14" customWidth="1"/>
    <col min="5" max="5" width="50" customWidth="1"/>
  </cols>
  <sheetData>
    <row r="1" spans="1:6" ht="30" customHeight="1" x14ac:dyDescent="0.35">
      <c r="A1" s="3" t="s">
        <v>74</v>
      </c>
      <c r="B1" s="3"/>
      <c r="C1" s="3"/>
      <c r="D1" s="3"/>
      <c r="E1" s="3"/>
      <c r="F1" s="3"/>
    </row>
    <row r="2" spans="1:6" ht="15.75" customHeight="1" x14ac:dyDescent="0.35">
      <c r="A2" s="2" t="s">
        <v>75</v>
      </c>
      <c r="B2" s="2"/>
      <c r="C2" s="2"/>
      <c r="D2" s="2"/>
      <c r="E2" s="2"/>
      <c r="F2" s="2"/>
    </row>
    <row r="3" spans="1:6" x14ac:dyDescent="0.35">
      <c r="A3" s="25" t="s">
        <v>76</v>
      </c>
      <c r="B3" s="25" t="s">
        <v>77</v>
      </c>
      <c r="C3" s="25" t="s">
        <v>78</v>
      </c>
      <c r="D3" s="25" t="s">
        <v>79</v>
      </c>
      <c r="E3" s="25" t="s">
        <v>80</v>
      </c>
    </row>
    <row r="4" spans="1:6" x14ac:dyDescent="0.35">
      <c r="A4" s="26" t="s">
        <v>81</v>
      </c>
      <c r="B4" s="27">
        <f t="shared" ref="B4:B18" si="0">D4</f>
        <v>48895</v>
      </c>
      <c r="C4" s="24"/>
      <c r="D4" s="28">
        <v>48895</v>
      </c>
      <c r="E4" s="6" t="s">
        <v>82</v>
      </c>
    </row>
    <row r="5" spans="1:6" x14ac:dyDescent="0.35">
      <c r="A5" s="29" t="s">
        <v>83</v>
      </c>
      <c r="B5" s="27">
        <f t="shared" si="0"/>
        <v>5</v>
      </c>
      <c r="C5" s="21"/>
      <c r="D5" s="28">
        <v>5</v>
      </c>
      <c r="E5" s="10" t="s">
        <v>84</v>
      </c>
    </row>
    <row r="6" spans="1:6" x14ac:dyDescent="0.35">
      <c r="A6" s="26" t="s">
        <v>85</v>
      </c>
      <c r="B6" s="30">
        <f t="shared" si="0"/>
        <v>152.72</v>
      </c>
      <c r="C6" s="24" t="s">
        <v>86</v>
      </c>
      <c r="D6" s="28">
        <v>152.72</v>
      </c>
      <c r="E6" s="6" t="s">
        <v>87</v>
      </c>
    </row>
    <row r="7" spans="1:6" x14ac:dyDescent="0.35">
      <c r="A7" s="29" t="s">
        <v>88</v>
      </c>
      <c r="B7" s="30">
        <f t="shared" si="0"/>
        <v>211.79</v>
      </c>
      <c r="C7" s="21" t="s">
        <v>86</v>
      </c>
      <c r="D7" s="28">
        <v>211.79</v>
      </c>
      <c r="E7" s="10" t="s">
        <v>89</v>
      </c>
    </row>
    <row r="8" spans="1:6" x14ac:dyDescent="0.35">
      <c r="A8" s="26" t="s">
        <v>90</v>
      </c>
      <c r="B8" s="30">
        <f t="shared" si="0"/>
        <v>89.78</v>
      </c>
      <c r="C8" s="24" t="s">
        <v>86</v>
      </c>
      <c r="D8" s="28">
        <v>89.78</v>
      </c>
      <c r="E8" s="6" t="s">
        <v>91</v>
      </c>
    </row>
    <row r="9" spans="1:6" x14ac:dyDescent="0.35">
      <c r="A9" s="29" t="s">
        <v>92</v>
      </c>
      <c r="B9" s="30">
        <f t="shared" si="0"/>
        <v>70.13</v>
      </c>
      <c r="C9" s="21" t="s">
        <v>86</v>
      </c>
      <c r="D9" s="28">
        <v>70.13</v>
      </c>
      <c r="E9" s="10" t="s">
        <v>93</v>
      </c>
    </row>
    <row r="10" spans="1:6" x14ac:dyDescent="0.35">
      <c r="A10" s="26" t="s">
        <v>94</v>
      </c>
      <c r="B10" s="31">
        <f t="shared" si="0"/>
        <v>72.5</v>
      </c>
      <c r="C10" s="24" t="s">
        <v>95</v>
      </c>
      <c r="D10" s="28">
        <v>72.5</v>
      </c>
      <c r="E10" s="6" t="s">
        <v>96</v>
      </c>
    </row>
    <row r="11" spans="1:6" x14ac:dyDescent="0.35">
      <c r="A11" s="29" t="s">
        <v>97</v>
      </c>
      <c r="B11" s="31">
        <f t="shared" si="0"/>
        <v>45.3</v>
      </c>
      <c r="C11" s="21" t="s">
        <v>95</v>
      </c>
      <c r="D11" s="28">
        <v>45.3</v>
      </c>
      <c r="E11" s="10" t="s">
        <v>98</v>
      </c>
    </row>
    <row r="12" spans="1:6" x14ac:dyDescent="0.35">
      <c r="A12" s="26" t="s">
        <v>99</v>
      </c>
      <c r="B12" s="27">
        <f t="shared" si="0"/>
        <v>25409</v>
      </c>
      <c r="C12" s="24"/>
      <c r="D12" s="28">
        <v>25409</v>
      </c>
      <c r="E12" s="6" t="s">
        <v>100</v>
      </c>
    </row>
    <row r="13" spans="1:6" x14ac:dyDescent="0.35">
      <c r="A13" s="29" t="s">
        <v>101</v>
      </c>
      <c r="B13" s="27">
        <f t="shared" si="0"/>
        <v>22326</v>
      </c>
      <c r="C13" s="21"/>
      <c r="D13" s="28">
        <v>22326</v>
      </c>
      <c r="E13" s="10" t="s">
        <v>102</v>
      </c>
    </row>
    <row r="14" spans="1:6" x14ac:dyDescent="0.35">
      <c r="A14" s="26" t="s">
        <v>103</v>
      </c>
      <c r="B14" s="27">
        <f t="shared" si="0"/>
        <v>1160</v>
      </c>
      <c r="C14" s="24"/>
      <c r="D14" s="28">
        <v>1160</v>
      </c>
      <c r="E14" s="6" t="s">
        <v>104</v>
      </c>
    </row>
    <row r="15" spans="1:6" x14ac:dyDescent="0.35">
      <c r="A15" s="29" t="s">
        <v>105</v>
      </c>
      <c r="B15" s="27">
        <f t="shared" si="0"/>
        <v>32303</v>
      </c>
      <c r="C15" s="21"/>
      <c r="D15" s="28">
        <v>32303</v>
      </c>
      <c r="E15" s="10" t="s">
        <v>106</v>
      </c>
    </row>
    <row r="16" spans="1:6" x14ac:dyDescent="0.35">
      <c r="A16" s="26" t="s">
        <v>107</v>
      </c>
      <c r="B16" s="27">
        <f t="shared" si="0"/>
        <v>94</v>
      </c>
      <c r="C16" s="24"/>
      <c r="D16" s="28">
        <v>94</v>
      </c>
      <c r="E16" s="6" t="s">
        <v>108</v>
      </c>
    </row>
    <row r="17" spans="1:5" x14ac:dyDescent="0.35">
      <c r="A17" s="29" t="s">
        <v>109</v>
      </c>
      <c r="B17" s="30">
        <f t="shared" si="0"/>
        <v>490.64</v>
      </c>
      <c r="C17" s="21" t="s">
        <v>86</v>
      </c>
      <c r="D17" s="28">
        <v>490.64</v>
      </c>
      <c r="E17" s="10" t="s">
        <v>110</v>
      </c>
    </row>
    <row r="18" spans="1:5" x14ac:dyDescent="0.35">
      <c r="A18" s="26" t="s">
        <v>71</v>
      </c>
      <c r="B18" s="27">
        <f t="shared" si="0"/>
        <v>112</v>
      </c>
      <c r="C18" s="24"/>
      <c r="D18" s="28">
        <v>112</v>
      </c>
      <c r="E18" s="6" t="s">
        <v>111</v>
      </c>
    </row>
    <row r="20" spans="1:5" x14ac:dyDescent="0.35">
      <c r="A20" s="32" t="s">
        <v>112</v>
      </c>
      <c r="B20" s="33" t="s">
        <v>113</v>
      </c>
    </row>
    <row r="21" spans="1:5" x14ac:dyDescent="0.35">
      <c r="B21" s="34" t="s">
        <v>114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showGridLines="0" zoomScaleNormal="100" workbookViewId="0"/>
  </sheetViews>
  <sheetFormatPr defaultColWidth="8.6328125" defaultRowHeight="14.5" x14ac:dyDescent="0.35"/>
  <cols>
    <col min="1" max="1" width="28" customWidth="1"/>
    <col min="2" max="4" width="18" customWidth="1"/>
    <col min="5" max="5" width="30" customWidth="1"/>
  </cols>
  <sheetData>
    <row r="1" spans="1:5" ht="30" customHeight="1" x14ac:dyDescent="0.35">
      <c r="A1" s="3" t="s">
        <v>115</v>
      </c>
      <c r="B1" s="3"/>
      <c r="C1" s="3"/>
      <c r="D1" s="3"/>
      <c r="E1" s="3"/>
    </row>
    <row r="2" spans="1:5" ht="15.75" customHeight="1" x14ac:dyDescent="0.35">
      <c r="A2" s="2" t="s">
        <v>116</v>
      </c>
      <c r="B2" s="2"/>
      <c r="C2" s="2"/>
      <c r="D2" s="2"/>
      <c r="E2" s="2"/>
    </row>
    <row r="4" spans="1:5" x14ac:dyDescent="0.35">
      <c r="A4" s="35" t="s">
        <v>117</v>
      </c>
    </row>
    <row r="5" spans="1:5" x14ac:dyDescent="0.35">
      <c r="A5" s="4" t="s">
        <v>118</v>
      </c>
      <c r="B5" s="4" t="s">
        <v>77</v>
      </c>
      <c r="C5" s="4"/>
      <c r="D5" s="4" t="s">
        <v>119</v>
      </c>
    </row>
    <row r="6" spans="1:5" x14ac:dyDescent="0.35">
      <c r="A6" s="36" t="s">
        <v>120</v>
      </c>
      <c r="B6" s="37">
        <v>152.72</v>
      </c>
      <c r="D6" s="38" t="s">
        <v>121</v>
      </c>
    </row>
    <row r="7" spans="1:5" x14ac:dyDescent="0.35">
      <c r="A7" s="39" t="s">
        <v>122</v>
      </c>
      <c r="B7" s="40">
        <v>65</v>
      </c>
      <c r="D7" s="38" t="s">
        <v>123</v>
      </c>
    </row>
    <row r="8" spans="1:5" x14ac:dyDescent="0.35">
      <c r="A8" s="36" t="s">
        <v>124</v>
      </c>
      <c r="B8" s="41">
        <v>1</v>
      </c>
      <c r="D8" s="38" t="s">
        <v>125</v>
      </c>
    </row>
    <row r="9" spans="1:5" x14ac:dyDescent="0.35">
      <c r="A9" s="39" t="s">
        <v>126</v>
      </c>
      <c r="B9" s="40">
        <v>3</v>
      </c>
      <c r="D9" s="38" t="s">
        <v>127</v>
      </c>
    </row>
    <row r="10" spans="1:5" x14ac:dyDescent="0.35">
      <c r="A10" s="36" t="s">
        <v>128</v>
      </c>
      <c r="B10" s="37">
        <v>2400</v>
      </c>
      <c r="D10" s="38" t="s">
        <v>129</v>
      </c>
    </row>
    <row r="12" spans="1:5" x14ac:dyDescent="0.35">
      <c r="A12" s="35" t="s">
        <v>130</v>
      </c>
    </row>
    <row r="13" spans="1:5" x14ac:dyDescent="0.35">
      <c r="A13" s="25" t="s">
        <v>131</v>
      </c>
      <c r="B13" s="25" t="s">
        <v>132</v>
      </c>
      <c r="C13" s="25" t="s">
        <v>133</v>
      </c>
      <c r="D13" s="25" t="s">
        <v>134</v>
      </c>
    </row>
    <row r="14" spans="1:5" x14ac:dyDescent="0.35">
      <c r="A14" s="36" t="s">
        <v>135</v>
      </c>
      <c r="B14" s="42">
        <f>ROUND(B7/100*365*B8,0)</f>
        <v>237</v>
      </c>
      <c r="C14" s="42">
        <f>ROUND(72.5/100*365,0)</f>
        <v>265</v>
      </c>
      <c r="D14" s="42">
        <f>ROUND(69.3/100*365,0)</f>
        <v>253</v>
      </c>
    </row>
    <row r="15" spans="1:5" x14ac:dyDescent="0.35">
      <c r="A15" s="39" t="s">
        <v>136</v>
      </c>
      <c r="B15" s="30">
        <f>ROUND(B6*(B7/100)*365*B8,2)</f>
        <v>36232.82</v>
      </c>
      <c r="C15" s="30">
        <f>ROUND(124.38*0.725*365,2)</f>
        <v>32914.06</v>
      </c>
      <c r="D15" s="30">
        <f>ROUND(196.88*0.693*365,2)</f>
        <v>49799.81</v>
      </c>
    </row>
    <row r="16" spans="1:5" x14ac:dyDescent="0.35">
      <c r="A16" s="36" t="s">
        <v>137</v>
      </c>
      <c r="B16" s="43">
        <f>ROUND(C15*B9/100,2)</f>
        <v>987.42</v>
      </c>
      <c r="C16" s="43">
        <f>ROUND(C15*0.03,2)</f>
        <v>987.42</v>
      </c>
      <c r="D16" s="43">
        <f>ROUND(D15*0.03,2)</f>
        <v>1493.99</v>
      </c>
    </row>
    <row r="17" spans="1:4" x14ac:dyDescent="0.35">
      <c r="A17" s="39" t="s">
        <v>138</v>
      </c>
      <c r="B17" s="30">
        <f>C15-C16</f>
        <v>31926.639999999999</v>
      </c>
      <c r="C17" s="30">
        <f>C15-C16</f>
        <v>31926.639999999999</v>
      </c>
      <c r="D17" s="30">
        <f>D15-D16</f>
        <v>48305.82</v>
      </c>
    </row>
    <row r="18" spans="1:4" x14ac:dyDescent="0.35">
      <c r="A18" s="36" t="s">
        <v>139</v>
      </c>
      <c r="B18" s="43">
        <f>B10*B8</f>
        <v>2400</v>
      </c>
      <c r="C18" s="43">
        <f>2400</f>
        <v>2400</v>
      </c>
      <c r="D18" s="43">
        <f>2400</f>
        <v>2400</v>
      </c>
    </row>
    <row r="19" spans="1:4" x14ac:dyDescent="0.35">
      <c r="A19" s="44" t="s">
        <v>140</v>
      </c>
      <c r="B19" s="45">
        <f>C17-C18</f>
        <v>29526.639999999999</v>
      </c>
      <c r="C19" s="45">
        <f>C17-C18</f>
        <v>29526.639999999999</v>
      </c>
      <c r="D19" s="45">
        <f>D17-D18</f>
        <v>45905.82</v>
      </c>
    </row>
    <row r="20" spans="1:4" x14ac:dyDescent="0.35">
      <c r="A20" s="36" t="s">
        <v>141</v>
      </c>
      <c r="B20" s="43">
        <f>ROUND(C19/12,2)</f>
        <v>2460.5500000000002</v>
      </c>
      <c r="C20" s="43">
        <f>ROUND(C19/12,2)</f>
        <v>2460.5500000000002</v>
      </c>
      <c r="D20" s="43">
        <f>ROUND(D19/12,2)</f>
        <v>3825.49</v>
      </c>
    </row>
    <row r="23" spans="1:4" ht="27.75" customHeight="1" x14ac:dyDescent="0.35">
      <c r="A23" s="1" t="s">
        <v>142</v>
      </c>
      <c r="B23" s="1"/>
      <c r="C23" s="1"/>
      <c r="D23" s="1"/>
    </row>
  </sheetData>
  <mergeCells count="3">
    <mergeCell ref="A1:E1"/>
    <mergeCell ref="A2:E2"/>
    <mergeCell ref="A23:D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Cleaned Data Sample</vt:lpstr>
      <vt:lpstr>2 - Pivot Analysis</vt:lpstr>
      <vt:lpstr>3 - KPI Summary</vt:lpstr>
      <vt:lpstr>4 - What-If Pricing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Valentine Chidi</cp:lastModifiedBy>
  <cp:revision>0</cp:revision>
  <dcterms:created xsi:type="dcterms:W3CDTF">2026-05-19T01:12:39Z</dcterms:created>
  <dcterms:modified xsi:type="dcterms:W3CDTF">2026-05-19T04:27:25Z</dcterms:modified>
  <dc:language>en-US</dc:language>
</cp:coreProperties>
</file>